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ADB1C45E-8886-41EF-91B1-3D3117FC84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IS Agents" sheetId="1" r:id="rId1"/>
    <sheet name="TBL_CHAVE" sheetId="2" r:id="rId2"/>
  </sheets>
  <definedNames>
    <definedName name="aporte">'FIIS Agents'!$D$16:$D$16</definedName>
    <definedName name="patrimonio">'FIIS Agents'!$D$19:$D$19</definedName>
    <definedName name="qtd_anos">'FIIS Agents'!$D$17:$D$17</definedName>
    <definedName name="rendimento_carteira">'FIIS Agents'!$D$12:$D$12</definedName>
    <definedName name="salario">'FIIS Agents'!$D$11:$D$11</definedName>
    <definedName name="sugestao_investimento">'FIIS Agents'!$D$13:$D$13</definedName>
    <definedName name="taxa_mensal">'FIIS Agents'!$D$18:$D$18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I4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1" i="1" a="1"/>
  <c r="C31" i="1"/>
  <c r="D19" i="1" a="1"/>
  <c r="D19" i="1"/>
  <c r="D20" i="1" s="1" a="1"/>
  <c r="D20" i="1" s="1"/>
  <c r="D13" i="1"/>
  <c r="C24" i="1"/>
  <c r="D24" i="1" s="1" a="1"/>
  <c r="D24" i="1" s="1"/>
  <c r="C25" i="1"/>
  <c r="D25" i="1" s="1" a="1"/>
  <c r="D25" i="1" s="1"/>
  <c r="C26" i="1"/>
  <c r="D26" i="1" s="1" a="1"/>
  <c r="D26" i="1" s="1"/>
  <c r="C27" i="1"/>
  <c r="D27" i="1" s="1" a="1"/>
  <c r="D27" i="1" s="1"/>
  <c r="C23" i="1"/>
  <c r="D23" i="1" s="1" a="1"/>
  <c r="D23" i="1" s="1"/>
  <c r="D35" i="1" l="1"/>
  <c r="D36" i="1"/>
  <c r="D37" i="1"/>
  <c r="D38" i="1"/>
  <c r="D39" i="1"/>
  <c r="D34" i="1"/>
  <c r="D4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<sst xmlns="http://schemas.openxmlformats.org/spreadsheetml/2006/main" count="71" uniqueCount="35">
  <si>
    <t>CONFIGURAÇÕES</t>
  </si>
  <si>
    <t>Salário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</si>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</sst>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>
    <font>
      <sz val="11"/>
      <color theme="1"/>
      <name val="Calibri"/>
      <family val="2"/>
      <scheme val="minor"/>
    </font>
    <font>
      <sz val="11"/>
      <color rgb="FF9C5700"/>
      <name val="Calibri"/>
      <scheme val="minor"/>
    </font>
    <font>
      <b/>
      <sz val="20"/>
      <color rgb="FFFFFFFF"/>
      <name val="Aptos Narrow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Aptos Narrow"/>
    </font>
    <font>
      <b/>
      <sz val="16"/>
      <color rgb="FFFFFFFF"/>
      <name val="Aptos Narrow"/>
    </font>
    <font>
      <sz val="12"/>
      <color theme="1"/>
      <name val="Aptos Narrow"/>
    </font>
    <font>
      <sz val="12"/>
      <color rgb="FF000000"/>
      <name val="Aptos Narrow"/>
    </font>
    <font>
      <b/>
      <sz val="12"/>
      <color theme="1"/>
      <name val="Aptos Narrow"/>
    </font>
    <font>
      <sz val="11"/>
      <color theme="7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medium">
        <color theme="9" tint="-0.249977111117893"/>
      </right>
      <top style="medium">
        <color rgb="FF000000"/>
      </top>
      <bottom/>
      <diagonal/>
    </border>
    <border>
      <left style="medium">
        <color theme="9" tint="-0.249977111117893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2"/>
      </left>
      <right style="medium">
        <color rgb="FF000000"/>
      </right>
      <top style="medium">
        <color theme="2"/>
      </top>
      <bottom style="thin">
        <color theme="2"/>
      </bottom>
      <diagonal/>
    </border>
    <border>
      <left style="medium">
        <color theme="2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theme="2"/>
      </right>
      <top style="thin">
        <color theme="2"/>
      </top>
      <bottom/>
      <diagonal/>
    </border>
    <border>
      <left style="medium">
        <color theme="2"/>
      </left>
      <right style="medium">
        <color rgb="FF000000"/>
      </right>
      <top style="thin">
        <color theme="2"/>
      </top>
      <bottom/>
      <diagonal/>
    </border>
    <border>
      <left style="medium">
        <color rgb="FF000000"/>
      </left>
      <right/>
      <top style="thin">
        <color theme="2"/>
      </top>
      <bottom style="thin">
        <color theme="2"/>
      </bottom>
      <diagonal/>
    </border>
    <border>
      <left style="medium">
        <color theme="2"/>
      </left>
      <right style="medium">
        <color rgb="FF000000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rgb="FF000000"/>
      </bottom>
      <diagonal/>
    </border>
    <border>
      <left style="medium">
        <color theme="2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theme="2" tint="-9.9978637043366805E-2"/>
      </left>
      <right style="medium">
        <color rgb="FF000000"/>
      </right>
      <top style="medium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/>
      </top>
      <bottom style="thin">
        <color theme="2" tint="-9.9978637043366805E-2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2">
    <xf numFmtId="0" fontId="0" fillId="0" borderId="0" xfId="0"/>
    <xf numFmtId="0" fontId="0" fillId="0" borderId="0" xfId="0" applyBorder="1"/>
    <xf numFmtId="0" fontId="4" fillId="0" borderId="0" xfId="0" applyFont="1"/>
    <xf numFmtId="8" fontId="0" fillId="5" borderId="7" xfId="0" applyNumberFormat="1" applyFill="1" applyBorder="1" applyAlignment="1">
      <alignment horizontal="center"/>
    </xf>
    <xf numFmtId="8" fontId="0" fillId="5" borderId="8" xfId="0" applyNumberFormat="1" applyFill="1" applyBorder="1" applyAlignment="1">
      <alignment horizontal="center"/>
    </xf>
    <xf numFmtId="8" fontId="3" fillId="5" borderId="9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vertical="center"/>
    </xf>
    <xf numFmtId="8" fontId="0" fillId="5" borderId="15" xfId="0" applyNumberFormat="1" applyFill="1" applyBorder="1" applyAlignment="1">
      <alignment horizontal="center"/>
    </xf>
    <xf numFmtId="8" fontId="0" fillId="5" borderId="16" xfId="0" applyNumberFormat="1" applyFill="1" applyBorder="1" applyAlignment="1">
      <alignment horizontal="center"/>
    </xf>
    <xf numFmtId="8" fontId="0" fillId="5" borderId="18" xfId="0" applyNumberFormat="1" applyFill="1" applyBorder="1" applyAlignment="1">
      <alignment horizontal="center"/>
    </xf>
    <xf numFmtId="8" fontId="0" fillId="5" borderId="20" xfId="0" applyNumberFormat="1" applyFill="1" applyBorder="1" applyAlignment="1">
      <alignment horizontal="center"/>
    </xf>
    <xf numFmtId="8" fontId="0" fillId="5" borderId="21" xfId="0" applyNumberFormat="1" applyFill="1" applyBorder="1" applyAlignment="1">
      <alignment horizontal="center"/>
    </xf>
    <xf numFmtId="8" fontId="0" fillId="5" borderId="22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5" borderId="14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7" fillId="5" borderId="17" xfId="0" applyFont="1" applyFill="1" applyBorder="1" applyAlignment="1">
      <alignment horizontal="left"/>
    </xf>
    <xf numFmtId="0" fontId="7" fillId="5" borderId="19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164" fontId="0" fillId="5" borderId="9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0" fontId="0" fillId="7" borderId="25" xfId="0" applyNumberFormat="1" applyFill="1" applyBorder="1" applyAlignment="1">
      <alignment horizontal="center"/>
    </xf>
    <xf numFmtId="164" fontId="3" fillId="0" borderId="28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10" fontId="3" fillId="0" borderId="25" xfId="0" applyNumberFormat="1" applyFont="1" applyBorder="1" applyAlignment="1">
      <alignment horizontal="center"/>
    </xf>
    <xf numFmtId="8" fontId="3" fillId="5" borderId="25" xfId="0" applyNumberFormat="1" applyFont="1" applyFill="1" applyBorder="1" applyAlignment="1">
      <alignment horizontal="center"/>
    </xf>
    <xf numFmtId="0" fontId="0" fillId="8" borderId="0" xfId="0" applyFill="1"/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10" fillId="8" borderId="0" xfId="0" applyFont="1" applyFill="1"/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/>
    <xf numFmtId="164" fontId="0" fillId="4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29" xfId="0" applyBorder="1"/>
    <xf numFmtId="0" fontId="0" fillId="0" borderId="29" xfId="0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3" fillId="0" borderId="0" xfId="0" applyFont="1"/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1" fillId="2" borderId="0" xfId="1"/>
    <xf numFmtId="9" fontId="1" fillId="2" borderId="0" xfId="1" applyNumberFormat="1"/>
    <xf numFmtId="0" fontId="7" fillId="0" borderId="10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0" fontId="9" fillId="5" borderId="5" xfId="0" applyFont="1" applyFill="1" applyBorder="1" applyAlignment="1">
      <alignment horizontal="left" vertical="top"/>
    </xf>
    <xf numFmtId="0" fontId="9" fillId="5" borderId="26" xfId="0" applyFont="1" applyFill="1" applyBorder="1" applyAlignment="1">
      <alignment horizontal="left" vertical="top"/>
    </xf>
    <xf numFmtId="0" fontId="9" fillId="5" borderId="27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7" fillId="7" borderId="11" xfId="0" applyFont="1" applyFill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0" fontId="7" fillId="7" borderId="10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0" fontId="7" fillId="5" borderId="26" xfId="0" applyFont="1" applyFill="1" applyBorder="1" applyAlignment="1">
      <alignment horizontal="left"/>
    </xf>
    <xf numFmtId="0" fontId="7" fillId="5" borderId="27" xfId="0" applyFont="1" applyFill="1" applyBorder="1" applyAlignment="1">
      <alignment horizontal="left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'FIIS Agents'!$C$33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 w="1905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EB-4BA6-9D10-A655801690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EB-4BA6-9D10-A655801690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EB-4BA6-9D10-A655801690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EB-4BA6-9D10-A655801690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EB-4BA6-9D10-A655801690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EB-4BA6-9D10-A65580169030}"/>
              </c:ext>
            </c:extLst>
          </c:dPt>
          <c:cat>
            <c:strRef>
              <c:f>'FIIS Agents'!$B$34:$B$39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'FIIS Agents'!$C$34:$C$39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9-45B5-915B-2D4A8B2D1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41</xdr:row>
      <xdr:rowOff>28575</xdr:rowOff>
    </xdr:from>
    <xdr:to>
      <xdr:col>3</xdr:col>
      <xdr:colOff>933450</xdr:colOff>
      <xdr:row>55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E0BF857-D758-04F1-9526-D21285089EAA}"/>
            </a:ext>
            <a:ext uri="{147F2762-F138-4A5C-976F-8EAC2B608ADB}">
              <a16:predDERef xmlns:a16="http://schemas.microsoft.com/office/drawing/2014/main" pred="{E20BE517-F6A1-2542-7552-0F155DECC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476250</xdr:colOff>
      <xdr:row>0</xdr:row>
      <xdr:rowOff>152400</xdr:rowOff>
    </xdr:from>
    <xdr:to>
      <xdr:col>3</xdr:col>
      <xdr:colOff>590550</xdr:colOff>
      <xdr:row>7</xdr:row>
      <xdr:rowOff>123825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598C45E4-57A1-9DD6-CC5C-63D837024E6E}"/>
            </a:ext>
            <a:ext uri="{147F2762-F138-4A5C-976F-8EAC2B608ADB}">
              <a16:predDERef xmlns:a16="http://schemas.microsoft.com/office/drawing/2014/main" pred="{2E0BF857-D758-04F1-9526-D2128508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3366" b="5446"/>
        <a:stretch>
          <a:fillRect/>
        </a:stretch>
      </xdr:blipFill>
      <xdr:spPr>
        <a:xfrm>
          <a:off x="857250" y="152400"/>
          <a:ext cx="4562475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H40"/>
  <sheetViews>
    <sheetView showGridLines="0" showRowColHeaders="0" tabSelected="1" topLeftCell="A27" workbookViewId="0">
      <selection activeCell="C30" sqref="C30"/>
    </sheetView>
  </sheetViews>
  <sheetFormatPr defaultColWidth="0" defaultRowHeight="15"/>
  <cols>
    <col min="1" max="1" width="5.7109375" customWidth="1"/>
    <col min="2" max="2" width="36.85546875" customWidth="1"/>
    <col min="3" max="3" width="29.85546875" customWidth="1"/>
    <col min="4" max="4" width="14.28515625" customWidth="1"/>
    <col min="5" max="5" width="3.140625" customWidth="1"/>
    <col min="6" max="6" width="3" customWidth="1"/>
    <col min="7" max="7" width="2.7109375" customWidth="1"/>
    <col min="8" max="8" width="3.28515625" customWidth="1"/>
    <col min="9" max="16384" width="9.140625" hidden="1"/>
  </cols>
  <sheetData>
    <row r="10" spans="2:7" ht="21">
      <c r="B10" s="58" t="s">
        <v>0</v>
      </c>
      <c r="C10" s="59"/>
      <c r="D10" s="60"/>
    </row>
    <row r="11" spans="2:7" ht="15.75">
      <c r="B11" s="66" t="s">
        <v>1</v>
      </c>
      <c r="C11" s="67"/>
      <c r="D11" s="23">
        <v>5000</v>
      </c>
      <c r="G11" s="16"/>
    </row>
    <row r="12" spans="2:7" ht="15.75">
      <c r="B12" s="68" t="s">
        <v>2</v>
      </c>
      <c r="C12" s="69"/>
      <c r="D12" s="24">
        <v>8.9999999999999993E-3</v>
      </c>
      <c r="E12" s="1"/>
    </row>
    <row r="13" spans="2:7" ht="15.75">
      <c r="B13" s="70" t="s">
        <v>3</v>
      </c>
      <c r="C13" s="71"/>
      <c r="D13" s="22">
        <f>D11*30%</f>
        <v>1500</v>
      </c>
    </row>
    <row r="15" spans="2:7" ht="26.25">
      <c r="B15" s="61" t="s">
        <v>4</v>
      </c>
      <c r="C15" s="62"/>
      <c r="D15" s="63"/>
    </row>
    <row r="16" spans="2:7" ht="15.75">
      <c r="B16" s="64" t="s">
        <v>5</v>
      </c>
      <c r="C16" s="65"/>
      <c r="D16" s="25">
        <v>1500</v>
      </c>
    </row>
    <row r="17" spans="1:4" ht="15.75">
      <c r="B17" s="50" t="s">
        <v>6</v>
      </c>
      <c r="C17" s="51"/>
      <c r="D17" s="26">
        <v>2</v>
      </c>
    </row>
    <row r="18" spans="1:4" ht="15.75">
      <c r="B18" s="52" t="s">
        <v>7</v>
      </c>
      <c r="C18" s="53"/>
      <c r="D18" s="27">
        <v>1.0789999999999999E-2</v>
      </c>
    </row>
    <row r="19" spans="1:4" ht="15.75">
      <c r="A19" s="1"/>
      <c r="B19" s="54" t="s">
        <v>8</v>
      </c>
      <c r="C19" s="55"/>
      <c r="D19" s="28" cm="1">
        <f t="array" ref="D19">FV(taxa_mensal,qtd_anos*12,aporte*-1)</f>
        <v>40841.440946467825</v>
      </c>
    </row>
    <row r="20" spans="1:4" ht="15.75">
      <c r="B20" s="56" t="s">
        <v>9</v>
      </c>
      <c r="C20" s="57"/>
      <c r="D20" s="5" cm="1">
        <f t="array" ref="D20">patrimonio*rendimento_carteira</f>
        <v>367.57296851821042</v>
      </c>
    </row>
    <row r="21" spans="1:4">
      <c r="D21" s="1"/>
    </row>
    <row r="22" spans="1:4" ht="26.25">
      <c r="B22" s="13" t="s">
        <v>10</v>
      </c>
      <c r="C22" s="14"/>
      <c r="D22" s="6" t="s">
        <v>11</v>
      </c>
    </row>
    <row r="23" spans="1:4" ht="15.75">
      <c r="B23" s="17" t="s">
        <v>12</v>
      </c>
      <c r="C23" s="4">
        <f>FV($D$18,$A24*12,$D$16*-1)</f>
        <v>40841.440946467825</v>
      </c>
      <c r="D23" s="7" cm="1">
        <f t="array" ref="D23">C23*rendimento_carteira</f>
        <v>367.57296851821042</v>
      </c>
    </row>
    <row r="24" spans="1:4" ht="15.75">
      <c r="A24" s="2">
        <v>2</v>
      </c>
      <c r="B24" s="18" t="s">
        <v>13</v>
      </c>
      <c r="C24" s="3">
        <f>FV($D$18,$A25*12,$D$16*-1)</f>
        <v>125665.37099773147</v>
      </c>
      <c r="D24" s="8" cm="1">
        <f t="array" ref="D24">C24*rendimento_carteira</f>
        <v>1130.9883389795832</v>
      </c>
    </row>
    <row r="25" spans="1:4" ht="15.75">
      <c r="A25" s="2">
        <v>5</v>
      </c>
      <c r="B25" s="19" t="s">
        <v>14</v>
      </c>
      <c r="C25" s="4">
        <f>FV($D$18,$A26*12,$D$16*-1)</f>
        <v>364926.3187952583</v>
      </c>
      <c r="D25" s="9" cm="1">
        <f t="array" ref="D25">C25*rendimento_carteira</f>
        <v>3284.3368691573246</v>
      </c>
    </row>
    <row r="26" spans="1:4" ht="15.75">
      <c r="A26" s="2">
        <v>10</v>
      </c>
      <c r="B26" s="20" t="s">
        <v>15</v>
      </c>
      <c r="C26" s="3">
        <f>FV($D$18,$A27*12,$D$16*-1)</f>
        <v>1687797.600145621</v>
      </c>
      <c r="D26" s="10" cm="1">
        <f t="array" ref="D26">C26*rendimento_carteira</f>
        <v>15190.178401310588</v>
      </c>
    </row>
    <row r="27" spans="1:4" ht="15.75">
      <c r="A27" s="2">
        <v>20</v>
      </c>
      <c r="B27" s="21" t="s">
        <v>16</v>
      </c>
      <c r="C27" s="11">
        <f>FV($D$18,$A28*12,$D$16*-1)</f>
        <v>6483254.4825070715</v>
      </c>
      <c r="D27" s="12" cm="1">
        <f t="array" ref="D27">C27*rendimento_carteira</f>
        <v>58349.29034256364</v>
      </c>
    </row>
    <row r="28" spans="1:4">
      <c r="A28" s="2">
        <v>30</v>
      </c>
    </row>
    <row r="30" spans="1:4">
      <c r="B30" s="32" t="s">
        <v>17</v>
      </c>
      <c r="C30" s="33" t="s">
        <v>18</v>
      </c>
      <c r="D30" s="29"/>
    </row>
    <row r="31" spans="1:4">
      <c r="B31" s="30" t="s">
        <v>19</v>
      </c>
      <c r="C31" s="31" cm="1">
        <f t="array" ref="C31">aporte</f>
        <v>1500</v>
      </c>
      <c r="D31" s="30"/>
    </row>
    <row r="33" spans="2:4">
      <c r="B33" s="37" t="s">
        <v>20</v>
      </c>
      <c r="C33" s="37" t="s">
        <v>21</v>
      </c>
      <c r="D33" s="37" t="s">
        <v>22</v>
      </c>
    </row>
    <row r="34" spans="2:4">
      <c r="B34" s="15" t="s">
        <v>23</v>
      </c>
      <c r="C34" s="35">
        <f>VLOOKUP($C$30&amp;"-"&amp;B34,TBL_CHAVE!$A:$D,4,FALSE)</f>
        <v>0.32</v>
      </c>
      <c r="D34" s="36">
        <f>C34*$C$31</f>
        <v>480</v>
      </c>
    </row>
    <row r="35" spans="2:4">
      <c r="B35" s="15" t="s">
        <v>24</v>
      </c>
      <c r="C35" s="35">
        <f>VLOOKUP($C$30&amp;"-"&amp;B35,TBL_CHAVE!$A:$D,4,FALSE)</f>
        <v>0.35</v>
      </c>
      <c r="D35" s="36">
        <f t="shared" ref="D35:D39" si="0">C35*$C$31</f>
        <v>525</v>
      </c>
    </row>
    <row r="36" spans="2:4">
      <c r="B36" s="15" t="s">
        <v>25</v>
      </c>
      <c r="C36" s="35">
        <f>VLOOKUP($C$30&amp;"-"&amp;B36,TBL_CHAVE!$A:$D,4,FALSE)</f>
        <v>0.08</v>
      </c>
      <c r="D36" s="36">
        <f t="shared" si="0"/>
        <v>120</v>
      </c>
    </row>
    <row r="37" spans="2:4">
      <c r="B37" s="15" t="s">
        <v>26</v>
      </c>
      <c r="C37" s="35">
        <f>VLOOKUP($C$30&amp;"-"&amp;B37,TBL_CHAVE!$A:$D,4,FALSE)</f>
        <v>0.05</v>
      </c>
      <c r="D37" s="36">
        <f t="shared" si="0"/>
        <v>75</v>
      </c>
    </row>
    <row r="38" spans="2:4">
      <c r="B38" s="15" t="s">
        <v>27</v>
      </c>
      <c r="C38" s="35">
        <f>VLOOKUP($C$30&amp;"-"&amp;B38,TBL_CHAVE!$A:$D,4,FALSE)</f>
        <v>0.1</v>
      </c>
      <c r="D38" s="36">
        <f t="shared" si="0"/>
        <v>150</v>
      </c>
    </row>
    <row r="39" spans="2:4">
      <c r="B39" s="15" t="s">
        <v>28</v>
      </c>
      <c r="C39" s="35">
        <f>VLOOKUP($C$30&amp;"-"&amp;B39,TBL_CHAVE!$A:$D,4,FALSE)</f>
        <v>0.1</v>
      </c>
      <c r="D39" s="36">
        <f t="shared" si="0"/>
        <v>150</v>
      </c>
    </row>
    <row r="40" spans="2:4">
      <c r="B40" s="38"/>
      <c r="C40" s="38"/>
      <c r="D40" s="39">
        <f>SUM(D34:D39)</f>
        <v>1500</v>
      </c>
    </row>
  </sheetData>
  <mergeCells count="10">
    <mergeCell ref="B17:C17"/>
    <mergeCell ref="B18:C18"/>
    <mergeCell ref="B19:C19"/>
    <mergeCell ref="B20:C20"/>
    <mergeCell ref="B10:D10"/>
    <mergeCell ref="B15:D15"/>
    <mergeCell ref="B16:C16"/>
    <mergeCell ref="B11:C11"/>
    <mergeCell ref="B12:C12"/>
    <mergeCell ref="B13:C13"/>
  </mergeCells>
  <dataValidations count="1">
    <dataValidation type="list" allowBlank="1" showInputMessage="1" showErrorMessage="1" sqref="C30" xr:uid="{4DF43D77-D29F-4C67-85BD-BF8E0B04F2BE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E236-0040-49AF-B6B6-2620866F3E5E}">
  <dimension ref="A2:I20"/>
  <sheetViews>
    <sheetView showGridLines="0" workbookViewId="0">
      <selection activeCell="J8" sqref="J8"/>
    </sheetView>
  </sheetViews>
  <sheetFormatPr defaultRowHeight="15"/>
  <cols>
    <col min="1" max="1" width="31.28515625" bestFit="1" customWidth="1"/>
    <col min="2" max="2" width="14.5703125" customWidth="1"/>
    <col min="3" max="3" width="22.28515625" customWidth="1"/>
  </cols>
  <sheetData>
    <row r="2" spans="1:9">
      <c r="A2" s="44" t="s">
        <v>29</v>
      </c>
      <c r="B2" s="34" t="s">
        <v>30</v>
      </c>
      <c r="C2" s="40" t="s">
        <v>20</v>
      </c>
      <c r="D2" s="34" t="s">
        <v>31</v>
      </c>
    </row>
    <row r="3" spans="1:9">
      <c r="A3" t="str">
        <f>B3&amp;"-"&amp;C3</f>
        <v>Conservador-PAPEL</v>
      </c>
      <c r="B3" s="15" t="s">
        <v>32</v>
      </c>
      <c r="C3" s="15" t="s">
        <v>23</v>
      </c>
      <c r="D3" s="35">
        <v>0.3</v>
      </c>
      <c r="I3" t="s">
        <v>31</v>
      </c>
    </row>
    <row r="4" spans="1:9">
      <c r="A4" t="str">
        <f t="shared" ref="A4:A20" si="0">B4&amp;"-"&amp;C4</f>
        <v>Conservador-TIJOLO</v>
      </c>
      <c r="B4" s="15" t="s">
        <v>32</v>
      </c>
      <c r="C4" s="15" t="s">
        <v>24</v>
      </c>
      <c r="D4" s="35">
        <v>0.5</v>
      </c>
      <c r="G4" s="48" t="s">
        <v>33</v>
      </c>
      <c r="H4" s="48"/>
      <c r="I4" s="49">
        <f>VLOOKUP(G4,$A:$D,4,FALSE)</f>
        <v>0.35</v>
      </c>
    </row>
    <row r="5" spans="1:9">
      <c r="A5" t="str">
        <f t="shared" si="0"/>
        <v>Conservador-HÍBRIDOS</v>
      </c>
      <c r="B5" s="15" t="s">
        <v>32</v>
      </c>
      <c r="C5" s="15" t="s">
        <v>25</v>
      </c>
      <c r="D5" s="35">
        <v>0.1</v>
      </c>
    </row>
    <row r="6" spans="1:9">
      <c r="A6" t="str">
        <f t="shared" si="0"/>
        <v>Conservador-FOFs</v>
      </c>
      <c r="B6" s="15" t="s">
        <v>32</v>
      </c>
      <c r="C6" s="15" t="s">
        <v>26</v>
      </c>
      <c r="D6" s="35">
        <v>0.1</v>
      </c>
    </row>
    <row r="7" spans="1:9">
      <c r="A7" t="str">
        <f t="shared" si="0"/>
        <v>Conservador-DESENVOLVIMENTO</v>
      </c>
      <c r="B7" s="15" t="s">
        <v>32</v>
      </c>
      <c r="C7" s="15" t="s">
        <v>27</v>
      </c>
      <c r="D7" s="35">
        <v>0</v>
      </c>
    </row>
    <row r="8" spans="1:9">
      <c r="A8" s="41" t="str">
        <f t="shared" si="0"/>
        <v>Conservador-HOTELARIAS</v>
      </c>
      <c r="B8" s="42" t="s">
        <v>32</v>
      </c>
      <c r="C8" s="42" t="s">
        <v>28</v>
      </c>
      <c r="D8" s="43">
        <v>0</v>
      </c>
    </row>
    <row r="9" spans="1:9">
      <c r="A9" t="str">
        <f t="shared" si="0"/>
        <v>Moderado-PAPEL</v>
      </c>
      <c r="B9" s="15" t="s">
        <v>18</v>
      </c>
      <c r="C9" s="15" t="s">
        <v>23</v>
      </c>
      <c r="D9" s="35">
        <v>0.32</v>
      </c>
    </row>
    <row r="10" spans="1:9">
      <c r="A10" s="45" t="str">
        <f t="shared" si="0"/>
        <v>Moderado-TIJOLO</v>
      </c>
      <c r="B10" s="46" t="s">
        <v>18</v>
      </c>
      <c r="C10" s="46" t="s">
        <v>24</v>
      </c>
      <c r="D10" s="47">
        <v>0.35</v>
      </c>
    </row>
    <row r="11" spans="1:9">
      <c r="A11" t="str">
        <f t="shared" si="0"/>
        <v>Moderado-HÍBRIDOS</v>
      </c>
      <c r="B11" s="15" t="s">
        <v>18</v>
      </c>
      <c r="C11" s="15" t="s">
        <v>25</v>
      </c>
      <c r="D11" s="35">
        <v>0.08</v>
      </c>
    </row>
    <row r="12" spans="1:9">
      <c r="A12" t="str">
        <f t="shared" si="0"/>
        <v>Moderado-FOFs</v>
      </c>
      <c r="B12" s="15" t="s">
        <v>18</v>
      </c>
      <c r="C12" s="15" t="s">
        <v>26</v>
      </c>
      <c r="D12" s="35">
        <v>0.05</v>
      </c>
    </row>
    <row r="13" spans="1:9">
      <c r="A13" t="str">
        <f t="shared" si="0"/>
        <v>Moderado-DESENVOLVIMENTO</v>
      </c>
      <c r="B13" s="15" t="s">
        <v>18</v>
      </c>
      <c r="C13" s="15" t="s">
        <v>27</v>
      </c>
      <c r="D13" s="35">
        <v>0.1</v>
      </c>
    </row>
    <row r="14" spans="1:9">
      <c r="A14" s="41" t="str">
        <f t="shared" si="0"/>
        <v>Moderado-HOTELARIAS</v>
      </c>
      <c r="B14" s="42" t="s">
        <v>18</v>
      </c>
      <c r="C14" s="42" t="s">
        <v>28</v>
      </c>
      <c r="D14" s="43">
        <v>0.1</v>
      </c>
    </row>
    <row r="15" spans="1:9">
      <c r="A15" t="str">
        <f t="shared" si="0"/>
        <v>Agressivo-PAPEL</v>
      </c>
      <c r="B15" s="15" t="s">
        <v>34</v>
      </c>
      <c r="C15" s="15" t="s">
        <v>23</v>
      </c>
      <c r="D15" s="35">
        <v>0.5</v>
      </c>
    </row>
    <row r="16" spans="1:9">
      <c r="A16" t="str">
        <f t="shared" si="0"/>
        <v>Agressivo-TIJOLO</v>
      </c>
      <c r="B16" s="15" t="s">
        <v>34</v>
      </c>
      <c r="C16" s="15" t="s">
        <v>24</v>
      </c>
      <c r="D16" s="35">
        <v>0.1</v>
      </c>
    </row>
    <row r="17" spans="1:4">
      <c r="A17" t="str">
        <f t="shared" si="0"/>
        <v>Agressivo-HÍBRIDOS</v>
      </c>
      <c r="B17" s="15" t="s">
        <v>34</v>
      </c>
      <c r="C17" s="15" t="s">
        <v>25</v>
      </c>
      <c r="D17" s="35">
        <v>0.05</v>
      </c>
    </row>
    <row r="18" spans="1:4">
      <c r="A18" t="str">
        <f t="shared" si="0"/>
        <v>Agressivo-FOFs</v>
      </c>
      <c r="B18" s="15" t="s">
        <v>34</v>
      </c>
      <c r="C18" s="15" t="s">
        <v>26</v>
      </c>
      <c r="D18" s="35">
        <v>0.05</v>
      </c>
    </row>
    <row r="19" spans="1:4">
      <c r="A19" t="str">
        <f t="shared" si="0"/>
        <v>Agressivo-DESENVOLVIMENTO</v>
      </c>
      <c r="B19" s="15" t="s">
        <v>34</v>
      </c>
      <c r="C19" s="15" t="s">
        <v>27</v>
      </c>
      <c r="D19" s="35">
        <v>0.2</v>
      </c>
    </row>
    <row r="20" spans="1:4">
      <c r="A20" t="str">
        <f t="shared" si="0"/>
        <v>Agressivo-HOTELARIAS</v>
      </c>
      <c r="B20" s="15" t="s">
        <v>34</v>
      </c>
      <c r="C20" s="15" t="s">
        <v>28</v>
      </c>
      <c r="D20" s="35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2026-10-08T14:10:09Z</dcterms:created>
  <dcterms:modified xsi:type="dcterms:W3CDTF">2026-10-09T01:28:32Z</dcterms:modified>
  <cp:category/>
  <cp:contentStatus/>
</cp:coreProperties>
</file>